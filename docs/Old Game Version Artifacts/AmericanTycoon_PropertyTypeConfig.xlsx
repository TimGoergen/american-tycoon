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Tim\"/>
    </mc:Choice>
  </mc:AlternateContent>
  <xr:revisionPtr revIDLastSave="0" documentId="8_{97B71617-91D5-4E90-9164-4BBA27BA25F6}" xr6:coauthVersionLast="47" xr6:coauthVersionMax="47" xr10:uidLastSave="{00000000-0000-0000-0000-000000000000}"/>
  <bookViews>
    <workbookView xWindow="28680" yWindow="-120" windowWidth="29040" windowHeight="15840" activeTab="1" xr2:uid="{DABDC278-1162-4304-A783-18F72EE4A8AB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D4" i="2"/>
  <c r="D5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F4" i="2"/>
  <c r="F3" i="2"/>
  <c r="C2" i="2"/>
  <c r="F2" i="2" s="1"/>
  <c r="R2" i="1"/>
  <c r="N2" i="1"/>
  <c r="P5" i="1"/>
  <c r="P4" i="1"/>
  <c r="P3" i="1"/>
  <c r="P2" i="1"/>
  <c r="N3" i="1"/>
  <c r="N4" i="1"/>
  <c r="N5" i="1"/>
  <c r="N6" i="1"/>
  <c r="N7" i="1"/>
  <c r="N8" i="1"/>
  <c r="N9" i="1"/>
  <c r="N10" i="1"/>
  <c r="N11" i="1"/>
  <c r="N12" i="1"/>
  <c r="K3" i="1"/>
  <c r="K1" i="1"/>
  <c r="H3" i="1"/>
  <c r="H4" i="1" s="1"/>
  <c r="H5" i="1" s="1"/>
  <c r="H6" i="1" s="1"/>
  <c r="H7" i="1" s="1"/>
  <c r="H8" i="1" s="1"/>
  <c r="H9" i="1" s="1"/>
  <c r="H10" i="1" s="1"/>
  <c r="H11" i="1" s="1"/>
  <c r="H2" i="1"/>
  <c r="I4" i="1"/>
  <c r="I5" i="1" s="1"/>
  <c r="I6" i="1" s="1"/>
  <c r="I7" i="1" s="1"/>
  <c r="I8" i="1" s="1"/>
  <c r="I9" i="1" s="1"/>
  <c r="I10" i="1" s="1"/>
  <c r="I11" i="1" s="1"/>
  <c r="I3" i="1"/>
  <c r="E3" i="1"/>
  <c r="E4" i="1"/>
  <c r="E5" i="1"/>
  <c r="E2" i="1"/>
  <c r="A3" i="1"/>
  <c r="A4" i="1" s="1"/>
  <c r="A5" i="1" s="1"/>
  <c r="A6" i="1" s="1"/>
  <c r="A7" i="1" s="1"/>
  <c r="A8" i="1" s="1"/>
  <c r="A9" i="1" s="1"/>
  <c r="A10" i="1" s="1"/>
  <c r="A11" i="1" s="1"/>
  <c r="A2" i="1"/>
  <c r="B4" i="1"/>
  <c r="B5" i="1" s="1"/>
  <c r="B6" i="1" s="1"/>
  <c r="B7" i="1" s="1"/>
  <c r="B8" i="1" s="1"/>
  <c r="B9" i="1" s="1"/>
  <c r="B10" i="1" s="1"/>
  <c r="B11" i="1" s="1"/>
  <c r="B3" i="1"/>
  <c r="D6" i="2" l="1"/>
  <c r="F5" i="2"/>
  <c r="D7" i="2" l="1"/>
  <c r="F6" i="2"/>
  <c r="D8" i="2" l="1"/>
  <c r="F7" i="2"/>
  <c r="F8" i="2" l="1"/>
  <c r="D9" i="2"/>
  <c r="D10" i="2" l="1"/>
  <c r="F9" i="2"/>
  <c r="F10" i="2" l="1"/>
  <c r="D11" i="2"/>
  <c r="F11" i="2" l="1"/>
  <c r="D12" i="2"/>
  <c r="D13" i="2" l="1"/>
  <c r="F13" i="2" s="1"/>
  <c r="F12" i="2"/>
</calcChain>
</file>

<file path=xl/sharedStrings.xml><?xml version="1.0" encoding="utf-8"?>
<sst xmlns="http://schemas.openxmlformats.org/spreadsheetml/2006/main" count="18" uniqueCount="18">
  <si>
    <t>ATM</t>
  </si>
  <si>
    <t>Cost</t>
  </si>
  <si>
    <t>Income per second</t>
  </si>
  <si>
    <t>Property Type</t>
  </si>
  <si>
    <t>Money Tree</t>
  </si>
  <si>
    <t>NFTs</t>
  </si>
  <si>
    <t>Income Per Cycle</t>
  </si>
  <si>
    <t>Tax Increment Financing</t>
  </si>
  <si>
    <t>Cross Border Distribution</t>
  </si>
  <si>
    <t>Money Laundering</t>
  </si>
  <si>
    <t>Day Trading</t>
  </si>
  <si>
    <t>Flipping Houses</t>
  </si>
  <si>
    <t>Multi Level Marketing</t>
  </si>
  <si>
    <t>Hedge Fund</t>
  </si>
  <si>
    <t>Legislative Assets</t>
  </si>
  <si>
    <t>Executive Assets</t>
  </si>
  <si>
    <t>Cycle Length (seconds)</t>
  </si>
  <si>
    <t>Cycle Length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</si>
</sst>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7" formatCode="_(* #,##0.0_);_(* \(#,##0.0\);_(* &quot;-&quot;??_);_(@_)"/>
    <numFmt numFmtId="169" formatCode="_(* #,##0.000_);_(* \(#,##0.0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44" fontId="0" fillId="0" borderId="0" xfId="2" applyFont="1"/>
    <xf numFmtId="167" fontId="0" fillId="0" borderId="0" xfId="1" applyNumberFormat="1" applyFont="1"/>
    <xf numFmtId="169" fontId="0" fillId="0" borderId="0" xfId="1" applyNumberFormat="1" applyFont="1"/>
    <xf numFmtId="0" fontId="0" fillId="2" borderId="0" xfId="0" applyFill="1"/>
    <xf numFmtId="44" fontId="0" fillId="2" borderId="0" xfId="2" applyFont="1" applyFill="1"/>
    <xf numFmtId="167" fontId="0" fillId="2" borderId="0" xfId="1" applyNumberFormat="1" applyFont="1" applyFill="1"/>
    <xf numFmtId="169" fontId="0" fillId="2" borderId="0" xfId="1" applyNumberFormat="1" applyFont="1" applyFill="1"/>
  </cellXfs>
  <cellStyles count="3">
    <cellStyle name="Comma" xfId="1" builtinId="3"/>
    <cellStyle name="Currency" xfId="2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(* #,##0.000_);_(* \(#,##0.000\);_(* &quot;-&quot;??_);_(@_)"/>
    </dxf>
    <dxf>
      <numFmt numFmtId="167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D422A-5D13-438B-B010-623CD9E6BA61}" name="Table1" displayName="Table1" ref="A1:F13" totalsRowShown="0">
  <autoFilter ref="A1:F13" xr:uid="{51AD422A-5D13-438B-B010-623CD9E6BA61}"/>
  <tableColumns count="6">
    <tableColumn id="1" xr3:uid="{310309EF-4D7C-45C0-AB69-8A532804A5D2}" name="Property Type"/>
    <tableColumn id="2" xr3:uid="{2D3DFDFA-4E0C-4EFF-B25A-4D2728AA1A1B}" name="Cost" dataCellStyle="Currency"/>
    <tableColumn id="3" xr3:uid="{929C8A82-D166-420E-B514-227E7923FD4F}" name="Income per second" dataCellStyle="Currency"/>
    <tableColumn id="4" xr3:uid="{8194EAD7-F1EC-4182-985F-F9113F8BBB9B}" name="Cycle Length (seconds)" dataDxfId="1" dataCellStyle="Comma"/>
    <tableColumn id="6" xr3:uid="{253D73F1-7CAC-4343-B08A-A3861ACCE47B}" name="Cycle Length (minutes)" dataDxfId="0" dataCellStyle="Comma">
      <calculatedColumnFormula>Table1[[#This Row],[Cycle Length (seconds)]]/60</calculatedColumnFormula>
    </tableColumn>
    <tableColumn id="5" xr3:uid="{1F7F8733-FEE3-4E42-B54B-E6FEA8FD5816}" name="Income Per Cycle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620D-9C3E-4180-9E40-588FA66A9237}">
  <dimension ref="A1:R12"/>
  <sheetViews>
    <sheetView workbookViewId="0">
      <selection activeCell="R2" sqref="R2"/>
    </sheetView>
  </sheetViews>
  <sheetFormatPr defaultRowHeight="15" x14ac:dyDescent="0.25"/>
  <cols>
    <col min="9" max="9" width="13.28515625" customWidth="1"/>
    <col min="11" max="11" width="10" customWidth="1"/>
  </cols>
  <sheetData>
    <row r="1" spans="1:18" x14ac:dyDescent="0.25">
      <c r="A1">
        <v>50</v>
      </c>
      <c r="D1">
        <v>50</v>
      </c>
      <c r="G1">
        <v>1</v>
      </c>
      <c r="H1">
        <v>50</v>
      </c>
      <c r="I1">
        <v>0.23</v>
      </c>
      <c r="K1" s="1">
        <f>5*(0.25+0.45)</f>
        <v>3.5</v>
      </c>
      <c r="M1">
        <v>1</v>
      </c>
      <c r="N1">
        <v>50</v>
      </c>
    </row>
    <row r="2" spans="1:18" x14ac:dyDescent="0.25">
      <c r="A2">
        <f>A1*(1+B2)</f>
        <v>62.5</v>
      </c>
      <c r="B2">
        <v>0.25</v>
      </c>
      <c r="D2">
        <v>64</v>
      </c>
      <c r="E2">
        <f>D2-D1</f>
        <v>14</v>
      </c>
      <c r="G2">
        <v>2</v>
      </c>
      <c r="H2">
        <f>_xlfn.FLOOR.MATH(H1*(1+I2))</f>
        <v>62</v>
      </c>
      <c r="I2">
        <v>0.25</v>
      </c>
      <c r="M2">
        <v>2</v>
      </c>
      <c r="N2">
        <f>ROUND($N$1 * POWER(1.1,ROW(N2)), 0)</f>
        <v>61</v>
      </c>
      <c r="P2">
        <f>(ROUND(50*POWER(1.1,2),0) + ROUND(50*POWER(1.1,11),0)) * 5</f>
        <v>1020</v>
      </c>
      <c r="R2">
        <f>50/1.1</f>
        <v>45.454545454545453</v>
      </c>
    </row>
    <row r="3" spans="1:18" x14ac:dyDescent="0.25">
      <c r="A3">
        <f t="shared" ref="A3:A11" si="0">A2*(1+B3)</f>
        <v>80</v>
      </c>
      <c r="B3">
        <f>B2+0.03</f>
        <v>0.28000000000000003</v>
      </c>
      <c r="D3">
        <v>83</v>
      </c>
      <c r="E3">
        <f t="shared" ref="E3:E5" si="1">D3-D2</f>
        <v>19</v>
      </c>
      <c r="G3">
        <v>3</v>
      </c>
      <c r="H3">
        <f t="shared" ref="H3:H11" si="2">_xlfn.FLOOR.MATH(H2*(1+I3))</f>
        <v>78</v>
      </c>
      <c r="I3">
        <f>I2+0.02</f>
        <v>0.27</v>
      </c>
      <c r="K3">
        <f>(50+626)*3.5</f>
        <v>2366</v>
      </c>
      <c r="M3">
        <v>3</v>
      </c>
      <c r="N3">
        <f t="shared" ref="N3:N12" si="3">ROUND($N$1 * POWER(1.1,ROW(N3)), 0)</f>
        <v>67</v>
      </c>
      <c r="P3">
        <f>ROUND(50*POWER(1.1,2),0)</f>
        <v>61</v>
      </c>
    </row>
    <row r="4" spans="1:18" x14ac:dyDescent="0.25">
      <c r="A4">
        <f t="shared" si="0"/>
        <v>104.80000000000001</v>
      </c>
      <c r="B4">
        <f t="shared" ref="B4:B11" si="4">B3+0.03</f>
        <v>0.31000000000000005</v>
      </c>
      <c r="D4">
        <v>111</v>
      </c>
      <c r="E4">
        <f t="shared" si="1"/>
        <v>28</v>
      </c>
      <c r="G4">
        <v>4</v>
      </c>
      <c r="H4">
        <f t="shared" si="2"/>
        <v>100</v>
      </c>
      <c r="I4">
        <f t="shared" ref="I4:I11" si="5">I3+0.02</f>
        <v>0.29000000000000004</v>
      </c>
      <c r="M4">
        <v>4</v>
      </c>
      <c r="N4">
        <f t="shared" si="3"/>
        <v>73</v>
      </c>
      <c r="P4">
        <f>ROUND(50*POWER(1.1,11),0)</f>
        <v>143</v>
      </c>
    </row>
    <row r="5" spans="1:18" x14ac:dyDescent="0.25">
      <c r="A5">
        <f t="shared" si="0"/>
        <v>140.43200000000002</v>
      </c>
      <c r="B5">
        <f t="shared" si="4"/>
        <v>0.34000000000000008</v>
      </c>
      <c r="D5">
        <v>152</v>
      </c>
      <c r="E5">
        <f t="shared" si="1"/>
        <v>41</v>
      </c>
      <c r="G5">
        <v>5</v>
      </c>
      <c r="H5">
        <f t="shared" si="2"/>
        <v>131</v>
      </c>
      <c r="I5">
        <f t="shared" si="5"/>
        <v>0.31000000000000005</v>
      </c>
      <c r="M5">
        <v>5</v>
      </c>
      <c r="N5">
        <f t="shared" si="3"/>
        <v>81</v>
      </c>
      <c r="P5">
        <f>204*5</f>
        <v>1020</v>
      </c>
    </row>
    <row r="6" spans="1:18" x14ac:dyDescent="0.25">
      <c r="A6">
        <f t="shared" si="0"/>
        <v>192.39184000000003</v>
      </c>
      <c r="B6">
        <f t="shared" si="4"/>
        <v>0.37000000000000011</v>
      </c>
      <c r="G6">
        <v>6</v>
      </c>
      <c r="H6">
        <f t="shared" si="2"/>
        <v>174</v>
      </c>
      <c r="I6">
        <f t="shared" si="5"/>
        <v>0.33000000000000007</v>
      </c>
      <c r="M6">
        <v>6</v>
      </c>
      <c r="N6">
        <f t="shared" si="3"/>
        <v>89</v>
      </c>
    </row>
    <row r="7" spans="1:18" x14ac:dyDescent="0.25">
      <c r="A7">
        <f t="shared" si="0"/>
        <v>269.34857600000009</v>
      </c>
      <c r="B7">
        <f t="shared" si="4"/>
        <v>0.40000000000000013</v>
      </c>
      <c r="G7">
        <v>7</v>
      </c>
      <c r="H7">
        <f t="shared" si="2"/>
        <v>234</v>
      </c>
      <c r="I7">
        <f t="shared" si="5"/>
        <v>0.35000000000000009</v>
      </c>
      <c r="M7">
        <v>7</v>
      </c>
      <c r="N7">
        <f t="shared" si="3"/>
        <v>97</v>
      </c>
    </row>
    <row r="8" spans="1:18" x14ac:dyDescent="0.25">
      <c r="A8">
        <f t="shared" si="0"/>
        <v>385.16846368000017</v>
      </c>
      <c r="B8">
        <f t="shared" si="4"/>
        <v>0.43000000000000016</v>
      </c>
      <c r="G8">
        <v>8</v>
      </c>
      <c r="H8">
        <f t="shared" si="2"/>
        <v>320</v>
      </c>
      <c r="I8">
        <f t="shared" si="5"/>
        <v>0.37000000000000011</v>
      </c>
      <c r="M8">
        <v>8</v>
      </c>
      <c r="N8">
        <f t="shared" si="3"/>
        <v>107</v>
      </c>
    </row>
    <row r="9" spans="1:18" x14ac:dyDescent="0.25">
      <c r="A9">
        <f t="shared" si="0"/>
        <v>562.34595697280031</v>
      </c>
      <c r="B9">
        <f t="shared" si="4"/>
        <v>0.46000000000000019</v>
      </c>
      <c r="G9">
        <v>9</v>
      </c>
      <c r="H9">
        <f t="shared" si="2"/>
        <v>444</v>
      </c>
      <c r="I9">
        <f t="shared" si="5"/>
        <v>0.39000000000000012</v>
      </c>
      <c r="M9">
        <v>9</v>
      </c>
      <c r="N9">
        <f t="shared" si="3"/>
        <v>118</v>
      </c>
    </row>
    <row r="10" spans="1:18" x14ac:dyDescent="0.25">
      <c r="A10">
        <f t="shared" si="0"/>
        <v>837.89547588947255</v>
      </c>
      <c r="B10">
        <f t="shared" si="4"/>
        <v>0.49000000000000021</v>
      </c>
      <c r="G10">
        <v>10</v>
      </c>
      <c r="H10">
        <f t="shared" si="2"/>
        <v>626</v>
      </c>
      <c r="I10">
        <f t="shared" si="5"/>
        <v>0.41000000000000014</v>
      </c>
      <c r="M10">
        <v>10</v>
      </c>
      <c r="N10">
        <f t="shared" si="3"/>
        <v>130</v>
      </c>
    </row>
    <row r="11" spans="1:18" x14ac:dyDescent="0.25">
      <c r="A11">
        <f t="shared" si="0"/>
        <v>1273.6011233519985</v>
      </c>
      <c r="B11">
        <f t="shared" si="4"/>
        <v>0.52000000000000024</v>
      </c>
      <c r="G11">
        <v>11</v>
      </c>
      <c r="H11">
        <f t="shared" si="2"/>
        <v>895</v>
      </c>
      <c r="I11">
        <f t="shared" si="5"/>
        <v>0.43000000000000016</v>
      </c>
      <c r="M11">
        <v>11</v>
      </c>
      <c r="N11">
        <f t="shared" si="3"/>
        <v>143</v>
      </c>
    </row>
    <row r="12" spans="1:18" x14ac:dyDescent="0.25">
      <c r="M12">
        <v>12</v>
      </c>
      <c r="N12">
        <f t="shared" si="3"/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B0B1-4007-40F3-B28F-B9AF7586540E}">
  <dimension ref="A1:F13"/>
  <sheetViews>
    <sheetView tabSelected="1" workbookViewId="0">
      <selection activeCell="C25" sqref="C25"/>
    </sheetView>
  </sheetViews>
  <sheetFormatPr defaultRowHeight="15" x14ac:dyDescent="0.25"/>
  <cols>
    <col min="1" max="1" width="23.5703125" bestFit="1" customWidth="1"/>
    <col min="2" max="2" width="29" customWidth="1"/>
    <col min="3" max="3" width="19.85546875" customWidth="1"/>
    <col min="4" max="4" width="23.85546875" bestFit="1" customWidth="1"/>
    <col min="5" max="5" width="23.85546875" customWidth="1"/>
    <col min="6" max="6" width="26" bestFit="1" customWidth="1"/>
  </cols>
  <sheetData>
    <row r="1" spans="1:6" x14ac:dyDescent="0.25">
      <c r="A1" t="s">
        <v>3</v>
      </c>
      <c r="B1" t="s">
        <v>1</v>
      </c>
      <c r="C1" t="s">
        <v>2</v>
      </c>
      <c r="D1" t="s">
        <v>16</v>
      </c>
      <c r="E1" t="s">
        <v>17</v>
      </c>
      <c r="F1" t="s">
        <v>6</v>
      </c>
    </row>
    <row r="2" spans="1:6" x14ac:dyDescent="0.25">
      <c r="A2" t="s">
        <v>0</v>
      </c>
      <c r="B2" s="2">
        <v>50</v>
      </c>
      <c r="C2" s="2">
        <f>50/4</f>
        <v>12.5</v>
      </c>
      <c r="D2" s="3">
        <v>0.4</v>
      </c>
      <c r="E2" s="4">
        <f>Table1[[#This Row],[Cycle Length (seconds)]]/60</f>
        <v>6.6666666666666671E-3</v>
      </c>
      <c r="F2" s="2">
        <f>D2*C2</f>
        <v>5</v>
      </c>
    </row>
    <row r="3" spans="1:6" x14ac:dyDescent="0.25">
      <c r="A3" t="s">
        <v>4</v>
      </c>
      <c r="B3" s="2">
        <f>B2*11</f>
        <v>550</v>
      </c>
      <c r="C3" s="2">
        <v>25</v>
      </c>
      <c r="D3" s="3">
        <v>2</v>
      </c>
      <c r="E3" s="4">
        <f>Table1[[#This Row],[Cycle Length (seconds)]]/60</f>
        <v>3.3333333333333333E-2</v>
      </c>
      <c r="F3" s="2">
        <f>D3*C3</f>
        <v>50</v>
      </c>
    </row>
    <row r="4" spans="1:6" x14ac:dyDescent="0.25">
      <c r="A4" t="s">
        <v>5</v>
      </c>
      <c r="B4" s="2">
        <f>B3*11</f>
        <v>6050</v>
      </c>
      <c r="C4" s="2">
        <f>C3*2</f>
        <v>50</v>
      </c>
      <c r="D4" s="3">
        <f>D3*2</f>
        <v>4</v>
      </c>
      <c r="E4" s="4">
        <f>Table1[[#This Row],[Cycle Length (seconds)]]/60</f>
        <v>6.6666666666666666E-2</v>
      </c>
      <c r="F4" s="2">
        <f>D4*C4</f>
        <v>200</v>
      </c>
    </row>
    <row r="5" spans="1:6" x14ac:dyDescent="0.25">
      <c r="A5" t="s">
        <v>7</v>
      </c>
      <c r="B5" s="2">
        <f>B4*11</f>
        <v>66550</v>
      </c>
      <c r="C5" s="2">
        <f>C4*2</f>
        <v>100</v>
      </c>
      <c r="D5" s="3">
        <f>D4*2</f>
        <v>8</v>
      </c>
      <c r="E5" s="4">
        <f>Table1[[#This Row],[Cycle Length (seconds)]]/60</f>
        <v>0.13333333333333333</v>
      </c>
      <c r="F5" s="2">
        <f>D5*C5</f>
        <v>800</v>
      </c>
    </row>
    <row r="6" spans="1:6" x14ac:dyDescent="0.25">
      <c r="A6" t="s">
        <v>8</v>
      </c>
      <c r="B6" s="2">
        <f t="shared" ref="B6:B13" si="0">B5*11</f>
        <v>732050</v>
      </c>
      <c r="C6" s="2">
        <f t="shared" ref="C6:C13" si="1">C5*2</f>
        <v>200</v>
      </c>
      <c r="D6" s="3">
        <f t="shared" ref="D6:D13" si="2">D5*2</f>
        <v>16</v>
      </c>
      <c r="E6" s="4">
        <f>Table1[[#This Row],[Cycle Length (seconds)]]/60</f>
        <v>0.26666666666666666</v>
      </c>
      <c r="F6" s="2">
        <f t="shared" ref="F6:F13" si="3">D6*C6</f>
        <v>3200</v>
      </c>
    </row>
    <row r="7" spans="1:6" x14ac:dyDescent="0.25">
      <c r="A7" t="s">
        <v>9</v>
      </c>
      <c r="B7" s="2">
        <f t="shared" si="0"/>
        <v>8052550</v>
      </c>
      <c r="C7" s="2">
        <f t="shared" si="1"/>
        <v>400</v>
      </c>
      <c r="D7" s="3">
        <f t="shared" si="2"/>
        <v>32</v>
      </c>
      <c r="E7" s="4">
        <f>Table1[[#This Row],[Cycle Length (seconds)]]/60</f>
        <v>0.53333333333333333</v>
      </c>
      <c r="F7" s="2">
        <f t="shared" si="3"/>
        <v>12800</v>
      </c>
    </row>
    <row r="8" spans="1:6" x14ac:dyDescent="0.25">
      <c r="A8" t="s">
        <v>10</v>
      </c>
      <c r="B8" s="2">
        <f t="shared" si="0"/>
        <v>88578050</v>
      </c>
      <c r="C8" s="2">
        <f t="shared" si="1"/>
        <v>800</v>
      </c>
      <c r="D8" s="3">
        <f t="shared" si="2"/>
        <v>64</v>
      </c>
      <c r="E8" s="4">
        <f>Table1[[#This Row],[Cycle Length (seconds)]]/60</f>
        <v>1.0666666666666667</v>
      </c>
      <c r="F8" s="2">
        <f t="shared" si="3"/>
        <v>51200</v>
      </c>
    </row>
    <row r="9" spans="1:6" x14ac:dyDescent="0.25">
      <c r="A9" t="s">
        <v>11</v>
      </c>
      <c r="B9" s="2">
        <f t="shared" si="0"/>
        <v>974358550</v>
      </c>
      <c r="C9" s="2">
        <f t="shared" si="1"/>
        <v>1600</v>
      </c>
      <c r="D9" s="3">
        <f t="shared" si="2"/>
        <v>128</v>
      </c>
      <c r="E9" s="4">
        <f>Table1[[#This Row],[Cycle Length (seconds)]]/60</f>
        <v>2.1333333333333333</v>
      </c>
      <c r="F9" s="2">
        <f t="shared" si="3"/>
        <v>204800</v>
      </c>
    </row>
    <row r="10" spans="1:6" x14ac:dyDescent="0.25">
      <c r="A10" t="s">
        <v>12</v>
      </c>
      <c r="B10" s="2">
        <f t="shared" si="0"/>
        <v>10717944050</v>
      </c>
      <c r="C10" s="2">
        <f t="shared" si="1"/>
        <v>3200</v>
      </c>
      <c r="D10" s="3">
        <f t="shared" si="2"/>
        <v>256</v>
      </c>
      <c r="E10" s="4">
        <f>Table1[[#This Row],[Cycle Length (seconds)]]/60</f>
        <v>4.2666666666666666</v>
      </c>
      <c r="F10" s="2">
        <f t="shared" si="3"/>
        <v>819200</v>
      </c>
    </row>
    <row r="11" spans="1:6" x14ac:dyDescent="0.25">
      <c r="A11" s="5" t="s">
        <v>13</v>
      </c>
      <c r="B11" s="6">
        <f t="shared" si="0"/>
        <v>117897384550</v>
      </c>
      <c r="C11" s="6">
        <f t="shared" si="1"/>
        <v>6400</v>
      </c>
      <c r="D11" s="7">
        <f t="shared" si="2"/>
        <v>512</v>
      </c>
      <c r="E11" s="8">
        <f>Table1[[#This Row],[Cycle Length (seconds)]]/60</f>
        <v>8.5333333333333332</v>
      </c>
      <c r="F11" s="6">
        <f t="shared" si="3"/>
        <v>3276800</v>
      </c>
    </row>
    <row r="12" spans="1:6" x14ac:dyDescent="0.25">
      <c r="A12" s="5" t="s">
        <v>14</v>
      </c>
      <c r="B12" s="6">
        <f t="shared" si="0"/>
        <v>1296871230050</v>
      </c>
      <c r="C12" s="6">
        <f t="shared" si="1"/>
        <v>12800</v>
      </c>
      <c r="D12" s="7">
        <f t="shared" si="2"/>
        <v>1024</v>
      </c>
      <c r="E12" s="8">
        <f>Table1[[#This Row],[Cycle Length (seconds)]]/60</f>
        <v>17.066666666666666</v>
      </c>
      <c r="F12" s="6">
        <f t="shared" si="3"/>
        <v>13107200</v>
      </c>
    </row>
    <row r="13" spans="1:6" x14ac:dyDescent="0.25">
      <c r="A13" s="5" t="s">
        <v>15</v>
      </c>
      <c r="B13" s="6">
        <f t="shared" si="0"/>
        <v>14265583530550</v>
      </c>
      <c r="C13" s="6">
        <f t="shared" si="1"/>
        <v>25600</v>
      </c>
      <c r="D13" s="7">
        <f t="shared" si="2"/>
        <v>2048</v>
      </c>
      <c r="E13" s="8">
        <f>Table1[[#This Row],[Cycle Length (seconds)]]/60</f>
        <v>34.133333333333333</v>
      </c>
      <c r="F13" s="6">
        <f t="shared" si="3"/>
        <v>52428800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goergen</dc:creator>
  <cp:lastModifiedBy>tim goergen</cp:lastModifiedBy>
  <dcterms:created xsi:type="dcterms:W3CDTF">2022-02-18T20:43:36Z</dcterms:created>
  <dcterms:modified xsi:type="dcterms:W3CDTF">2022-02-22T18:58:07Z</dcterms:modified>
</cp:coreProperties>
</file>